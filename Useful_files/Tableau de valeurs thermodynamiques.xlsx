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menervepa\MP_platform_project\Useful_files\"/>
    </mc:Choice>
  </mc:AlternateContent>
  <xr:revisionPtr revIDLastSave="0" documentId="13_ncr:1_{DCA4ED37-3E75-4283-9534-47DA947CFD9D}" xr6:coauthVersionLast="47" xr6:coauthVersionMax="47" xr10:uidLastSave="{00000000-0000-0000-0000-000000000000}"/>
  <bookViews>
    <workbookView xWindow="-120" yWindow="-120" windowWidth="29040" windowHeight="15720" xr2:uid="{ED0C6EBA-ECC7-448B-B65F-0823A4F4800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1" l="1"/>
  <c r="J19" i="1"/>
  <c r="J21" i="1"/>
  <c r="N25" i="1"/>
  <c r="R18" i="1" s="1"/>
  <c r="L24" i="1"/>
  <c r="Q19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  <c r="Q18" i="1" l="1"/>
  <c r="Q27" i="1"/>
  <c r="Q26" i="1"/>
  <c r="Q25" i="1"/>
  <c r="Q24" i="1"/>
  <c r="Q23" i="1"/>
  <c r="Q22" i="1"/>
  <c r="Q21" i="1"/>
  <c r="Q20" i="1"/>
  <c r="R26" i="1"/>
  <c r="R24" i="1"/>
  <c r="R23" i="1"/>
  <c r="R22" i="1"/>
  <c r="R19" i="1"/>
  <c r="R27" i="1"/>
  <c r="R25" i="1"/>
  <c r="R21" i="1"/>
  <c r="R20" i="1"/>
</calcChain>
</file>

<file path=xl/sharedStrings.xml><?xml version="1.0" encoding="utf-8"?>
<sst xmlns="http://schemas.openxmlformats.org/spreadsheetml/2006/main" count="8" uniqueCount="8">
  <si>
    <t>kappa (W/m*K)</t>
  </si>
  <si>
    <t>Viscosity (Pa*s)</t>
  </si>
  <si>
    <t>Cp (J/g*K)</t>
  </si>
  <si>
    <t>Enthalpy (kJ/kg)</t>
  </si>
  <si>
    <t>Density (kg/m3)</t>
  </si>
  <si>
    <t>Temperature ©</t>
  </si>
  <si>
    <t>Cp en /kg</t>
  </si>
  <si>
    <t>Temperature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</si>
</sst>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strRef>
              <c:f>Feuil1!$C$1</c:f>
              <c:strCache>
                <c:ptCount val="1"/>
                <c:pt idx="0">
                  <c:v>Density (kg/m3)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1.7227252843394575E-2"/>
                  <c:y val="-0.405662000583260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Feuil1!$B$2:$B$47</c:f>
              <c:numCache>
                <c:formatCode>General</c:formatCode>
                <c:ptCount val="46"/>
                <c:pt idx="0">
                  <c:v>558.15</c:v>
                </c:pt>
                <c:pt idx="1">
                  <c:v>559.15</c:v>
                </c:pt>
                <c:pt idx="2">
                  <c:v>560.15</c:v>
                </c:pt>
                <c:pt idx="3">
                  <c:v>561.15</c:v>
                </c:pt>
                <c:pt idx="4">
                  <c:v>562.15</c:v>
                </c:pt>
                <c:pt idx="5">
                  <c:v>563.15</c:v>
                </c:pt>
                <c:pt idx="6">
                  <c:v>564.15</c:v>
                </c:pt>
                <c:pt idx="7">
                  <c:v>565.15</c:v>
                </c:pt>
                <c:pt idx="8">
                  <c:v>566.15</c:v>
                </c:pt>
                <c:pt idx="9">
                  <c:v>567.15</c:v>
                </c:pt>
                <c:pt idx="10">
                  <c:v>568.15</c:v>
                </c:pt>
                <c:pt idx="11">
                  <c:v>569.15</c:v>
                </c:pt>
                <c:pt idx="12">
                  <c:v>570.15</c:v>
                </c:pt>
                <c:pt idx="13">
                  <c:v>571.15</c:v>
                </c:pt>
                <c:pt idx="14">
                  <c:v>572.15</c:v>
                </c:pt>
                <c:pt idx="15">
                  <c:v>573.15</c:v>
                </c:pt>
                <c:pt idx="16">
                  <c:v>574.15</c:v>
                </c:pt>
                <c:pt idx="17">
                  <c:v>575.15</c:v>
                </c:pt>
                <c:pt idx="18">
                  <c:v>576.15</c:v>
                </c:pt>
                <c:pt idx="19">
                  <c:v>577.15</c:v>
                </c:pt>
                <c:pt idx="20">
                  <c:v>578.15</c:v>
                </c:pt>
                <c:pt idx="21">
                  <c:v>579.15</c:v>
                </c:pt>
                <c:pt idx="22">
                  <c:v>580.15</c:v>
                </c:pt>
                <c:pt idx="23">
                  <c:v>581.15</c:v>
                </c:pt>
                <c:pt idx="24">
                  <c:v>582.15</c:v>
                </c:pt>
                <c:pt idx="25">
                  <c:v>583.15</c:v>
                </c:pt>
                <c:pt idx="26">
                  <c:v>584.15</c:v>
                </c:pt>
                <c:pt idx="27">
                  <c:v>585.15</c:v>
                </c:pt>
                <c:pt idx="28">
                  <c:v>586.15</c:v>
                </c:pt>
                <c:pt idx="29">
                  <c:v>587.15</c:v>
                </c:pt>
                <c:pt idx="30">
                  <c:v>588.15</c:v>
                </c:pt>
                <c:pt idx="31">
                  <c:v>589.15</c:v>
                </c:pt>
                <c:pt idx="32">
                  <c:v>590.15</c:v>
                </c:pt>
                <c:pt idx="33">
                  <c:v>591.15</c:v>
                </c:pt>
                <c:pt idx="34">
                  <c:v>592.15</c:v>
                </c:pt>
                <c:pt idx="35">
                  <c:v>593.15</c:v>
                </c:pt>
                <c:pt idx="36">
                  <c:v>594.15</c:v>
                </c:pt>
                <c:pt idx="37">
                  <c:v>595.15</c:v>
                </c:pt>
                <c:pt idx="38">
                  <c:v>596.15</c:v>
                </c:pt>
                <c:pt idx="39">
                  <c:v>597.15</c:v>
                </c:pt>
                <c:pt idx="40">
                  <c:v>598.15</c:v>
                </c:pt>
                <c:pt idx="41">
                  <c:v>599.15</c:v>
                </c:pt>
                <c:pt idx="42">
                  <c:v>600.15</c:v>
                </c:pt>
                <c:pt idx="43">
                  <c:v>601.15</c:v>
                </c:pt>
                <c:pt idx="44">
                  <c:v>602.15</c:v>
                </c:pt>
                <c:pt idx="45">
                  <c:v>603.15</c:v>
                </c:pt>
              </c:numCache>
              <c:extLst xmlns:c15="http://schemas.microsoft.com/office/drawing/2012/chart"/>
            </c:numRef>
          </c:xVal>
          <c:yVal>
            <c:numRef>
              <c:f>Feuil1!$C$2:$C$47</c:f>
              <c:numCache>
                <c:formatCode>General</c:formatCode>
                <c:ptCount val="46"/>
                <c:pt idx="0">
                  <c:v>755.43</c:v>
                </c:pt>
                <c:pt idx="1">
                  <c:v>753.62</c:v>
                </c:pt>
                <c:pt idx="2">
                  <c:v>751.79</c:v>
                </c:pt>
                <c:pt idx="3">
                  <c:v>749.94</c:v>
                </c:pt>
                <c:pt idx="4">
                  <c:v>748.08</c:v>
                </c:pt>
                <c:pt idx="5">
                  <c:v>746.21</c:v>
                </c:pt>
                <c:pt idx="6">
                  <c:v>744.32</c:v>
                </c:pt>
                <c:pt idx="7">
                  <c:v>742.41</c:v>
                </c:pt>
                <c:pt idx="8">
                  <c:v>740.49</c:v>
                </c:pt>
                <c:pt idx="9">
                  <c:v>738.54</c:v>
                </c:pt>
                <c:pt idx="10">
                  <c:v>736.59</c:v>
                </c:pt>
                <c:pt idx="11">
                  <c:v>734.61</c:v>
                </c:pt>
                <c:pt idx="12">
                  <c:v>732.61</c:v>
                </c:pt>
                <c:pt idx="13">
                  <c:v>730.6</c:v>
                </c:pt>
                <c:pt idx="14">
                  <c:v>728.57</c:v>
                </c:pt>
                <c:pt idx="15">
                  <c:v>726.51</c:v>
                </c:pt>
                <c:pt idx="16">
                  <c:v>724.44</c:v>
                </c:pt>
                <c:pt idx="17">
                  <c:v>722.35</c:v>
                </c:pt>
                <c:pt idx="18">
                  <c:v>720.23</c:v>
                </c:pt>
                <c:pt idx="19">
                  <c:v>718.09</c:v>
                </c:pt>
                <c:pt idx="20">
                  <c:v>715.93</c:v>
                </c:pt>
                <c:pt idx="21">
                  <c:v>713.75</c:v>
                </c:pt>
                <c:pt idx="22">
                  <c:v>711.54</c:v>
                </c:pt>
                <c:pt idx="23">
                  <c:v>709.3</c:v>
                </c:pt>
                <c:pt idx="24">
                  <c:v>707.04</c:v>
                </c:pt>
                <c:pt idx="25">
                  <c:v>704.76</c:v>
                </c:pt>
                <c:pt idx="26">
                  <c:v>702.44</c:v>
                </c:pt>
                <c:pt idx="27">
                  <c:v>700.1</c:v>
                </c:pt>
                <c:pt idx="28">
                  <c:v>697.73</c:v>
                </c:pt>
                <c:pt idx="29">
                  <c:v>695.32</c:v>
                </c:pt>
                <c:pt idx="30">
                  <c:v>692.89</c:v>
                </c:pt>
                <c:pt idx="31">
                  <c:v>690.42</c:v>
                </c:pt>
                <c:pt idx="32">
                  <c:v>687.92</c:v>
                </c:pt>
                <c:pt idx="33">
                  <c:v>685.39</c:v>
                </c:pt>
                <c:pt idx="34">
                  <c:v>682.81</c:v>
                </c:pt>
                <c:pt idx="35">
                  <c:v>680.2</c:v>
                </c:pt>
                <c:pt idx="36">
                  <c:v>677.55</c:v>
                </c:pt>
                <c:pt idx="37">
                  <c:v>674.86</c:v>
                </c:pt>
                <c:pt idx="38">
                  <c:v>672.12</c:v>
                </c:pt>
                <c:pt idx="39">
                  <c:v>669.34</c:v>
                </c:pt>
                <c:pt idx="40">
                  <c:v>666.51</c:v>
                </c:pt>
                <c:pt idx="41">
                  <c:v>663.63</c:v>
                </c:pt>
                <c:pt idx="42">
                  <c:v>660.69</c:v>
                </c:pt>
                <c:pt idx="43">
                  <c:v>657.7</c:v>
                </c:pt>
                <c:pt idx="44">
                  <c:v>654.66</c:v>
                </c:pt>
                <c:pt idx="45">
                  <c:v>651.54999999999995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A4C5-4154-8107-A2BE07742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741872"/>
        <c:axId val="11427509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Feuil1!$E$1</c15:sqref>
                        </c15:formulaRef>
                      </c:ext>
                    </c:extLst>
                    <c:strCache>
                      <c:ptCount val="1"/>
                      <c:pt idx="0">
                        <c:v>Cp (J/g*K)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3.5018810148731407E-2"/>
                        <c:y val="0.26862314085739281"/>
                      </c:manualLayout>
                    </c:layout>
                    <c:numFmt formatCode="#,##0.00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Feuil1!$B$2:$B$47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558.15</c:v>
                      </c:pt>
                      <c:pt idx="1">
                        <c:v>559.15</c:v>
                      </c:pt>
                      <c:pt idx="2">
                        <c:v>560.15</c:v>
                      </c:pt>
                      <c:pt idx="3">
                        <c:v>561.15</c:v>
                      </c:pt>
                      <c:pt idx="4">
                        <c:v>562.15</c:v>
                      </c:pt>
                      <c:pt idx="5">
                        <c:v>563.15</c:v>
                      </c:pt>
                      <c:pt idx="6">
                        <c:v>564.15</c:v>
                      </c:pt>
                      <c:pt idx="7">
                        <c:v>565.15</c:v>
                      </c:pt>
                      <c:pt idx="8">
                        <c:v>566.15</c:v>
                      </c:pt>
                      <c:pt idx="9">
                        <c:v>567.15</c:v>
                      </c:pt>
                      <c:pt idx="10">
                        <c:v>568.15</c:v>
                      </c:pt>
                      <c:pt idx="11">
                        <c:v>569.15</c:v>
                      </c:pt>
                      <c:pt idx="12">
                        <c:v>570.15</c:v>
                      </c:pt>
                      <c:pt idx="13">
                        <c:v>571.15</c:v>
                      </c:pt>
                      <c:pt idx="14">
                        <c:v>572.15</c:v>
                      </c:pt>
                      <c:pt idx="15">
                        <c:v>573.15</c:v>
                      </c:pt>
                      <c:pt idx="16">
                        <c:v>574.15</c:v>
                      </c:pt>
                      <c:pt idx="17">
                        <c:v>575.15</c:v>
                      </c:pt>
                      <c:pt idx="18">
                        <c:v>576.15</c:v>
                      </c:pt>
                      <c:pt idx="19">
                        <c:v>577.15</c:v>
                      </c:pt>
                      <c:pt idx="20">
                        <c:v>578.15</c:v>
                      </c:pt>
                      <c:pt idx="21">
                        <c:v>579.15</c:v>
                      </c:pt>
                      <c:pt idx="22">
                        <c:v>580.15</c:v>
                      </c:pt>
                      <c:pt idx="23">
                        <c:v>581.15</c:v>
                      </c:pt>
                      <c:pt idx="24">
                        <c:v>582.15</c:v>
                      </c:pt>
                      <c:pt idx="25">
                        <c:v>583.15</c:v>
                      </c:pt>
                      <c:pt idx="26">
                        <c:v>584.15</c:v>
                      </c:pt>
                      <c:pt idx="27">
                        <c:v>585.15</c:v>
                      </c:pt>
                      <c:pt idx="28">
                        <c:v>586.15</c:v>
                      </c:pt>
                      <c:pt idx="29">
                        <c:v>587.15</c:v>
                      </c:pt>
                      <c:pt idx="30">
                        <c:v>588.15</c:v>
                      </c:pt>
                      <c:pt idx="31">
                        <c:v>589.15</c:v>
                      </c:pt>
                      <c:pt idx="32">
                        <c:v>590.15</c:v>
                      </c:pt>
                      <c:pt idx="33">
                        <c:v>591.15</c:v>
                      </c:pt>
                      <c:pt idx="34">
                        <c:v>592.15</c:v>
                      </c:pt>
                      <c:pt idx="35">
                        <c:v>593.15</c:v>
                      </c:pt>
                      <c:pt idx="36">
                        <c:v>594.15</c:v>
                      </c:pt>
                      <c:pt idx="37">
                        <c:v>595.15</c:v>
                      </c:pt>
                      <c:pt idx="38">
                        <c:v>596.15</c:v>
                      </c:pt>
                      <c:pt idx="39">
                        <c:v>597.15</c:v>
                      </c:pt>
                      <c:pt idx="40">
                        <c:v>598.15</c:v>
                      </c:pt>
                      <c:pt idx="41">
                        <c:v>599.15</c:v>
                      </c:pt>
                      <c:pt idx="42">
                        <c:v>600.15</c:v>
                      </c:pt>
                      <c:pt idx="43">
                        <c:v>601.15</c:v>
                      </c:pt>
                      <c:pt idx="44">
                        <c:v>602.15</c:v>
                      </c:pt>
                      <c:pt idx="45">
                        <c:v>603.15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Feuil1!$F$2:$F$47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5155.4000000000005</c:v>
                      </c:pt>
                      <c:pt idx="1">
                        <c:v>5172.3999999999996</c:v>
                      </c:pt>
                      <c:pt idx="2">
                        <c:v>5189.7</c:v>
                      </c:pt>
                      <c:pt idx="3">
                        <c:v>5207.3999999999996</c:v>
                      </c:pt>
                      <c:pt idx="4">
                        <c:v>5225.6000000000004</c:v>
                      </c:pt>
                      <c:pt idx="5">
                        <c:v>5244.1</c:v>
                      </c:pt>
                      <c:pt idx="6">
                        <c:v>5263.2000000000007</c:v>
                      </c:pt>
                      <c:pt idx="7">
                        <c:v>5282.7</c:v>
                      </c:pt>
                      <c:pt idx="8">
                        <c:v>5302.6</c:v>
                      </c:pt>
                      <c:pt idx="9">
                        <c:v>5323.1</c:v>
                      </c:pt>
                      <c:pt idx="10">
                        <c:v>5344.1</c:v>
                      </c:pt>
                      <c:pt idx="11">
                        <c:v>5365.7000000000007</c:v>
                      </c:pt>
                      <c:pt idx="12">
                        <c:v>5387.8</c:v>
                      </c:pt>
                      <c:pt idx="13">
                        <c:v>5410.5</c:v>
                      </c:pt>
                      <c:pt idx="14">
                        <c:v>5433.9000000000005</c:v>
                      </c:pt>
                      <c:pt idx="15">
                        <c:v>5457.9000000000005</c:v>
                      </c:pt>
                      <c:pt idx="16">
                        <c:v>5482.5</c:v>
                      </c:pt>
                      <c:pt idx="17">
                        <c:v>5507.9000000000005</c:v>
                      </c:pt>
                      <c:pt idx="18">
                        <c:v>5534</c:v>
                      </c:pt>
                      <c:pt idx="19">
                        <c:v>5560.9000000000005</c:v>
                      </c:pt>
                      <c:pt idx="20">
                        <c:v>5588.5999999999995</c:v>
                      </c:pt>
                      <c:pt idx="21">
                        <c:v>5617.2000000000007</c:v>
                      </c:pt>
                      <c:pt idx="22">
                        <c:v>5646.7</c:v>
                      </c:pt>
                      <c:pt idx="23">
                        <c:v>5677.1</c:v>
                      </c:pt>
                      <c:pt idx="24">
                        <c:v>5708.5</c:v>
                      </c:pt>
                      <c:pt idx="25">
                        <c:v>5741</c:v>
                      </c:pt>
                      <c:pt idx="26">
                        <c:v>5774.5</c:v>
                      </c:pt>
                      <c:pt idx="27">
                        <c:v>5809.3</c:v>
                      </c:pt>
                      <c:pt idx="28">
                        <c:v>5845.3</c:v>
                      </c:pt>
                      <c:pt idx="29">
                        <c:v>5882.6</c:v>
                      </c:pt>
                      <c:pt idx="30">
                        <c:v>5921.2999999999993</c:v>
                      </c:pt>
                      <c:pt idx="31">
                        <c:v>5961.4000000000005</c:v>
                      </c:pt>
                      <c:pt idx="32">
                        <c:v>6003.2</c:v>
                      </c:pt>
                      <c:pt idx="33">
                        <c:v>6046.5999999999995</c:v>
                      </c:pt>
                      <c:pt idx="34">
                        <c:v>6091.8</c:v>
                      </c:pt>
                      <c:pt idx="35">
                        <c:v>6138.9</c:v>
                      </c:pt>
                      <c:pt idx="36">
                        <c:v>6188</c:v>
                      </c:pt>
                      <c:pt idx="37">
                        <c:v>6239.4</c:v>
                      </c:pt>
                      <c:pt idx="38">
                        <c:v>6293.1</c:v>
                      </c:pt>
                      <c:pt idx="39">
                        <c:v>6349.3</c:v>
                      </c:pt>
                      <c:pt idx="40">
                        <c:v>6408.2999999999993</c:v>
                      </c:pt>
                      <c:pt idx="41">
                        <c:v>6470.3</c:v>
                      </c:pt>
                      <c:pt idx="42">
                        <c:v>6535.4000000000005</c:v>
                      </c:pt>
                      <c:pt idx="43">
                        <c:v>6604.0999999999995</c:v>
                      </c:pt>
                      <c:pt idx="44">
                        <c:v>6676.7000000000007</c:v>
                      </c:pt>
                      <c:pt idx="45">
                        <c:v>6753.5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C5-4154-8107-A2BE0774215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Feuil1!$G$1</c15:sqref>
                        </c15:formulaRef>
                      </c:ext>
                    </c:extLst>
                    <c:strCache>
                      <c:ptCount val="1"/>
                      <c:pt idx="0">
                        <c:v>Viscosity (Pa*s)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-2.9323709536307963E-2"/>
                        <c:y val="0.14608121901428989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Feuil1!$B$2:$B$47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558.15</c:v>
                      </c:pt>
                      <c:pt idx="1">
                        <c:v>559.15</c:v>
                      </c:pt>
                      <c:pt idx="2">
                        <c:v>560.15</c:v>
                      </c:pt>
                      <c:pt idx="3">
                        <c:v>561.15</c:v>
                      </c:pt>
                      <c:pt idx="4">
                        <c:v>562.15</c:v>
                      </c:pt>
                      <c:pt idx="5">
                        <c:v>563.15</c:v>
                      </c:pt>
                      <c:pt idx="6">
                        <c:v>564.15</c:v>
                      </c:pt>
                      <c:pt idx="7">
                        <c:v>565.15</c:v>
                      </c:pt>
                      <c:pt idx="8">
                        <c:v>566.15</c:v>
                      </c:pt>
                      <c:pt idx="9">
                        <c:v>567.15</c:v>
                      </c:pt>
                      <c:pt idx="10">
                        <c:v>568.15</c:v>
                      </c:pt>
                      <c:pt idx="11">
                        <c:v>569.15</c:v>
                      </c:pt>
                      <c:pt idx="12">
                        <c:v>570.15</c:v>
                      </c:pt>
                      <c:pt idx="13">
                        <c:v>571.15</c:v>
                      </c:pt>
                      <c:pt idx="14">
                        <c:v>572.15</c:v>
                      </c:pt>
                      <c:pt idx="15">
                        <c:v>573.15</c:v>
                      </c:pt>
                      <c:pt idx="16">
                        <c:v>574.15</c:v>
                      </c:pt>
                      <c:pt idx="17">
                        <c:v>575.15</c:v>
                      </c:pt>
                      <c:pt idx="18">
                        <c:v>576.15</c:v>
                      </c:pt>
                      <c:pt idx="19">
                        <c:v>577.15</c:v>
                      </c:pt>
                      <c:pt idx="20">
                        <c:v>578.15</c:v>
                      </c:pt>
                      <c:pt idx="21">
                        <c:v>579.15</c:v>
                      </c:pt>
                      <c:pt idx="22">
                        <c:v>580.15</c:v>
                      </c:pt>
                      <c:pt idx="23">
                        <c:v>581.15</c:v>
                      </c:pt>
                      <c:pt idx="24">
                        <c:v>582.15</c:v>
                      </c:pt>
                      <c:pt idx="25">
                        <c:v>583.15</c:v>
                      </c:pt>
                      <c:pt idx="26">
                        <c:v>584.15</c:v>
                      </c:pt>
                      <c:pt idx="27">
                        <c:v>585.15</c:v>
                      </c:pt>
                      <c:pt idx="28">
                        <c:v>586.15</c:v>
                      </c:pt>
                      <c:pt idx="29">
                        <c:v>587.15</c:v>
                      </c:pt>
                      <c:pt idx="30">
                        <c:v>588.15</c:v>
                      </c:pt>
                      <c:pt idx="31">
                        <c:v>589.15</c:v>
                      </c:pt>
                      <c:pt idx="32">
                        <c:v>590.15</c:v>
                      </c:pt>
                      <c:pt idx="33">
                        <c:v>591.15</c:v>
                      </c:pt>
                      <c:pt idx="34">
                        <c:v>592.15</c:v>
                      </c:pt>
                      <c:pt idx="35">
                        <c:v>593.15</c:v>
                      </c:pt>
                      <c:pt idx="36">
                        <c:v>594.15</c:v>
                      </c:pt>
                      <c:pt idx="37">
                        <c:v>595.15</c:v>
                      </c:pt>
                      <c:pt idx="38">
                        <c:v>596.15</c:v>
                      </c:pt>
                      <c:pt idx="39">
                        <c:v>597.15</c:v>
                      </c:pt>
                      <c:pt idx="40">
                        <c:v>598.15</c:v>
                      </c:pt>
                      <c:pt idx="41">
                        <c:v>599.15</c:v>
                      </c:pt>
                      <c:pt idx="42">
                        <c:v>600.15</c:v>
                      </c:pt>
                      <c:pt idx="43">
                        <c:v>601.15</c:v>
                      </c:pt>
                      <c:pt idx="44">
                        <c:v>602.15</c:v>
                      </c:pt>
                      <c:pt idx="45">
                        <c:v>603.15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Feuil1!$G$2:$G$47</c15:sqref>
                        </c15:formulaRef>
                      </c:ext>
                    </c:extLst>
                    <c:numCache>
                      <c:formatCode>0.00E+00</c:formatCode>
                      <c:ptCount val="46"/>
                      <c:pt idx="0">
                        <c:v>9.4485000000000001E-5</c:v>
                      </c:pt>
                      <c:pt idx="1">
                        <c:v>9.4084000000000002E-5</c:v>
                      </c:pt>
                      <c:pt idx="2">
                        <c:v>9.3684000000000006E-5</c:v>
                      </c:pt>
                      <c:pt idx="3">
                        <c:v>9.3284999999999999E-5</c:v>
                      </c:pt>
                      <c:pt idx="4">
                        <c:v>9.2886999999999993E-5</c:v>
                      </c:pt>
                      <c:pt idx="5">
                        <c:v>9.2489000000000002E-5</c:v>
                      </c:pt>
                      <c:pt idx="6">
                        <c:v>9.2091999999999999E-5</c:v>
                      </c:pt>
                      <c:pt idx="7">
                        <c:v>9.1694999999999995E-5</c:v>
                      </c:pt>
                      <c:pt idx="8">
                        <c:v>9.1298999999999994E-5</c:v>
                      </c:pt>
                      <c:pt idx="9">
                        <c:v>9.0902000000000005E-5</c:v>
                      </c:pt>
                      <c:pt idx="10">
                        <c:v>9.0507000000000006E-5</c:v>
                      </c:pt>
                      <c:pt idx="11">
                        <c:v>9.0111000000000005E-5</c:v>
                      </c:pt>
                      <c:pt idx="12">
                        <c:v>8.9716000000000006E-5</c:v>
                      </c:pt>
                      <c:pt idx="13">
                        <c:v>8.9320000000000005E-5</c:v>
                      </c:pt>
                      <c:pt idx="14">
                        <c:v>8.8925000000000007E-5</c:v>
                      </c:pt>
                      <c:pt idx="15">
                        <c:v>8.8529999999999994E-5</c:v>
                      </c:pt>
                      <c:pt idx="16">
                        <c:v>8.8133999999999993E-5</c:v>
                      </c:pt>
                      <c:pt idx="17">
                        <c:v>8.7738000000000006E-5</c:v>
                      </c:pt>
                      <c:pt idx="18">
                        <c:v>8.7342000000000005E-5</c:v>
                      </c:pt>
                      <c:pt idx="19">
                        <c:v>8.6945000000000002E-5</c:v>
                      </c:pt>
                      <c:pt idx="20">
                        <c:v>8.6547999999999999E-5</c:v>
                      </c:pt>
                      <c:pt idx="21">
                        <c:v>8.6149999999999993E-5</c:v>
                      </c:pt>
                      <c:pt idx="22">
                        <c:v>8.5750999999999999E-5</c:v>
                      </c:pt>
                      <c:pt idx="23">
                        <c:v>8.5352000000000005E-5</c:v>
                      </c:pt>
                      <c:pt idx="24">
                        <c:v>8.4950999999999994E-5</c:v>
                      </c:pt>
                      <c:pt idx="25">
                        <c:v>8.4549999999999995E-5</c:v>
                      </c:pt>
                      <c:pt idx="26">
                        <c:v>8.4147000000000006E-5</c:v>
                      </c:pt>
                      <c:pt idx="27">
                        <c:v>8.3743000000000001E-5</c:v>
                      </c:pt>
                      <c:pt idx="28">
                        <c:v>8.3337999999999994E-5</c:v>
                      </c:pt>
                      <c:pt idx="29">
                        <c:v>8.2930999999999996E-5</c:v>
                      </c:pt>
                      <c:pt idx="30">
                        <c:v>8.2522999999999996E-5</c:v>
                      </c:pt>
                      <c:pt idx="31">
                        <c:v>8.2112000000000003E-5</c:v>
                      </c:pt>
                      <c:pt idx="32">
                        <c:v>8.1699999999999994E-5</c:v>
                      </c:pt>
                      <c:pt idx="33">
                        <c:v>8.1285999999999994E-5</c:v>
                      </c:pt>
                      <c:pt idx="34">
                        <c:v>8.0869000000000001E-5</c:v>
                      </c:pt>
                      <c:pt idx="35">
                        <c:v>8.0449000000000002E-5</c:v>
                      </c:pt>
                      <c:pt idx="36">
                        <c:v>8.0026999999999998E-5</c:v>
                      </c:pt>
                      <c:pt idx="37">
                        <c:v>7.9602000000000001E-5</c:v>
                      </c:pt>
                      <c:pt idx="38">
                        <c:v>7.9173999999999998E-5</c:v>
                      </c:pt>
                      <c:pt idx="39">
                        <c:v>7.8743000000000001E-5</c:v>
                      </c:pt>
                      <c:pt idx="40">
                        <c:v>7.8307999999999996E-5</c:v>
                      </c:pt>
                      <c:pt idx="41">
                        <c:v>7.7868999999999996E-5</c:v>
                      </c:pt>
                      <c:pt idx="42">
                        <c:v>7.7426E-5</c:v>
                      </c:pt>
                      <c:pt idx="43">
                        <c:v>7.6977999999999994E-5</c:v>
                      </c:pt>
                      <c:pt idx="44">
                        <c:v>7.6525000000000003E-5</c:v>
                      </c:pt>
                      <c:pt idx="45">
                        <c:v>7.6068000000000004E-5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C5-4154-8107-A2BE0774215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Feuil1!$H$1</c15:sqref>
                        </c15:formulaRef>
                      </c:ext>
                    </c:extLst>
                    <c:strCache>
                      <c:ptCount val="1"/>
                      <c:pt idx="0">
                        <c:v>kappa (W/m*K)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1.6604549431321086E-2"/>
                        <c:y val="-0.52525590551181101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Feuil1!$B$2:$B$47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558.15</c:v>
                      </c:pt>
                      <c:pt idx="1">
                        <c:v>559.15</c:v>
                      </c:pt>
                      <c:pt idx="2">
                        <c:v>560.15</c:v>
                      </c:pt>
                      <c:pt idx="3">
                        <c:v>561.15</c:v>
                      </c:pt>
                      <c:pt idx="4">
                        <c:v>562.15</c:v>
                      </c:pt>
                      <c:pt idx="5">
                        <c:v>563.15</c:v>
                      </c:pt>
                      <c:pt idx="6">
                        <c:v>564.15</c:v>
                      </c:pt>
                      <c:pt idx="7">
                        <c:v>565.15</c:v>
                      </c:pt>
                      <c:pt idx="8">
                        <c:v>566.15</c:v>
                      </c:pt>
                      <c:pt idx="9">
                        <c:v>567.15</c:v>
                      </c:pt>
                      <c:pt idx="10">
                        <c:v>568.15</c:v>
                      </c:pt>
                      <c:pt idx="11">
                        <c:v>569.15</c:v>
                      </c:pt>
                      <c:pt idx="12">
                        <c:v>570.15</c:v>
                      </c:pt>
                      <c:pt idx="13">
                        <c:v>571.15</c:v>
                      </c:pt>
                      <c:pt idx="14">
                        <c:v>572.15</c:v>
                      </c:pt>
                      <c:pt idx="15">
                        <c:v>573.15</c:v>
                      </c:pt>
                      <c:pt idx="16">
                        <c:v>574.15</c:v>
                      </c:pt>
                      <c:pt idx="17">
                        <c:v>575.15</c:v>
                      </c:pt>
                      <c:pt idx="18">
                        <c:v>576.15</c:v>
                      </c:pt>
                      <c:pt idx="19">
                        <c:v>577.15</c:v>
                      </c:pt>
                      <c:pt idx="20">
                        <c:v>578.15</c:v>
                      </c:pt>
                      <c:pt idx="21">
                        <c:v>579.15</c:v>
                      </c:pt>
                      <c:pt idx="22">
                        <c:v>580.15</c:v>
                      </c:pt>
                      <c:pt idx="23">
                        <c:v>581.15</c:v>
                      </c:pt>
                      <c:pt idx="24">
                        <c:v>582.15</c:v>
                      </c:pt>
                      <c:pt idx="25">
                        <c:v>583.15</c:v>
                      </c:pt>
                      <c:pt idx="26">
                        <c:v>584.15</c:v>
                      </c:pt>
                      <c:pt idx="27">
                        <c:v>585.15</c:v>
                      </c:pt>
                      <c:pt idx="28">
                        <c:v>586.15</c:v>
                      </c:pt>
                      <c:pt idx="29">
                        <c:v>587.15</c:v>
                      </c:pt>
                      <c:pt idx="30">
                        <c:v>588.15</c:v>
                      </c:pt>
                      <c:pt idx="31">
                        <c:v>589.15</c:v>
                      </c:pt>
                      <c:pt idx="32">
                        <c:v>590.15</c:v>
                      </c:pt>
                      <c:pt idx="33">
                        <c:v>591.15</c:v>
                      </c:pt>
                      <c:pt idx="34">
                        <c:v>592.15</c:v>
                      </c:pt>
                      <c:pt idx="35">
                        <c:v>593.15</c:v>
                      </c:pt>
                      <c:pt idx="36">
                        <c:v>594.15</c:v>
                      </c:pt>
                      <c:pt idx="37">
                        <c:v>595.15</c:v>
                      </c:pt>
                      <c:pt idx="38">
                        <c:v>596.15</c:v>
                      </c:pt>
                      <c:pt idx="39">
                        <c:v>597.15</c:v>
                      </c:pt>
                      <c:pt idx="40">
                        <c:v>598.15</c:v>
                      </c:pt>
                      <c:pt idx="41">
                        <c:v>599.15</c:v>
                      </c:pt>
                      <c:pt idx="42">
                        <c:v>600.15</c:v>
                      </c:pt>
                      <c:pt idx="43">
                        <c:v>601.15</c:v>
                      </c:pt>
                      <c:pt idx="44">
                        <c:v>602.15</c:v>
                      </c:pt>
                      <c:pt idx="45">
                        <c:v>603.15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Feuil1!$H$2:$H$47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0.58636999999999995</c:v>
                      </c:pt>
                      <c:pt idx="1">
                        <c:v>0.58496999999999999</c:v>
                      </c:pt>
                      <c:pt idx="2">
                        <c:v>0.58355000000000001</c:v>
                      </c:pt>
                      <c:pt idx="3">
                        <c:v>0.58211000000000002</c:v>
                      </c:pt>
                      <c:pt idx="4">
                        <c:v>0.58067000000000002</c:v>
                      </c:pt>
                      <c:pt idx="5">
                        <c:v>0.57921999999999996</c:v>
                      </c:pt>
                      <c:pt idx="6">
                        <c:v>0.57774999999999999</c:v>
                      </c:pt>
                      <c:pt idx="7">
                        <c:v>0.57626999999999995</c:v>
                      </c:pt>
                      <c:pt idx="8">
                        <c:v>0.57477999999999996</c:v>
                      </c:pt>
                      <c:pt idx="9">
                        <c:v>0.57328000000000001</c:v>
                      </c:pt>
                      <c:pt idx="10">
                        <c:v>0.57176000000000005</c:v>
                      </c:pt>
                      <c:pt idx="11">
                        <c:v>0.57023999999999997</c:v>
                      </c:pt>
                      <c:pt idx="12">
                        <c:v>0.56869999999999998</c:v>
                      </c:pt>
                      <c:pt idx="13">
                        <c:v>0.56713999999999998</c:v>
                      </c:pt>
                      <c:pt idx="14">
                        <c:v>0.56557000000000002</c:v>
                      </c:pt>
                      <c:pt idx="15">
                        <c:v>0.56398999999999999</c:v>
                      </c:pt>
                      <c:pt idx="16">
                        <c:v>0.56240000000000001</c:v>
                      </c:pt>
                      <c:pt idx="17">
                        <c:v>0.56079000000000001</c:v>
                      </c:pt>
                      <c:pt idx="18">
                        <c:v>0.55916999999999994</c:v>
                      </c:pt>
                      <c:pt idx="19">
                        <c:v>0.55752999999999997</c:v>
                      </c:pt>
                      <c:pt idx="20">
                        <c:v>0.55588000000000004</c:v>
                      </c:pt>
                      <c:pt idx="21">
                        <c:v>0.55422000000000005</c:v>
                      </c:pt>
                      <c:pt idx="22">
                        <c:v>0.55252999999999997</c:v>
                      </c:pt>
                      <c:pt idx="23">
                        <c:v>0.55084</c:v>
                      </c:pt>
                      <c:pt idx="24">
                        <c:v>0.54912000000000005</c:v>
                      </c:pt>
                      <c:pt idx="25">
                        <c:v>0.54739000000000004</c:v>
                      </c:pt>
                      <c:pt idx="26">
                        <c:v>0.54564999999999997</c:v>
                      </c:pt>
                      <c:pt idx="27">
                        <c:v>0.54388000000000003</c:v>
                      </c:pt>
                      <c:pt idx="28">
                        <c:v>0.54210000000000003</c:v>
                      </c:pt>
                      <c:pt idx="29">
                        <c:v>0.5403</c:v>
                      </c:pt>
                      <c:pt idx="30">
                        <c:v>0.53847999999999996</c:v>
                      </c:pt>
                      <c:pt idx="31">
                        <c:v>0.53664999999999996</c:v>
                      </c:pt>
                      <c:pt idx="32">
                        <c:v>0.53478999999999999</c:v>
                      </c:pt>
                      <c:pt idx="33">
                        <c:v>0.53291999999999995</c:v>
                      </c:pt>
                      <c:pt idx="34">
                        <c:v>0.53102000000000005</c:v>
                      </c:pt>
                      <c:pt idx="35">
                        <c:v>0.52910000000000001</c:v>
                      </c:pt>
                      <c:pt idx="36">
                        <c:v>0.52715999999999996</c:v>
                      </c:pt>
                      <c:pt idx="37">
                        <c:v>0.5252</c:v>
                      </c:pt>
                      <c:pt idx="38">
                        <c:v>0.52320999999999995</c:v>
                      </c:pt>
                      <c:pt idx="39">
                        <c:v>0.5212</c:v>
                      </c:pt>
                      <c:pt idx="40">
                        <c:v>0.51917000000000002</c:v>
                      </c:pt>
                      <c:pt idx="41">
                        <c:v>0.51710999999999996</c:v>
                      </c:pt>
                      <c:pt idx="42">
                        <c:v>0.51502000000000003</c:v>
                      </c:pt>
                      <c:pt idx="43">
                        <c:v>0.51290999999999998</c:v>
                      </c:pt>
                      <c:pt idx="44">
                        <c:v>0.51075999999999999</c:v>
                      </c:pt>
                      <c:pt idx="45">
                        <c:v>0.50858999999999999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4C5-4154-8107-A2BE07742155}"/>
                  </c:ext>
                </c:extLst>
              </c15:ser>
            </c15:filteredScatterSeries>
          </c:ext>
        </c:extLst>
      </c:scatterChart>
      <c:valAx>
        <c:axId val="114274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</a:t>
                </a:r>
                <a:r>
                  <a:rPr lang="fr-FR" baseline="0"/>
                  <a:t> (K)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2750992"/>
        <c:crosses val="autoZero"/>
        <c:crossBetween val="midCat"/>
      </c:valAx>
      <c:valAx>
        <c:axId val="11427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Density</a:t>
                </a:r>
                <a:r>
                  <a:rPr lang="fr-FR" baseline="0"/>
                  <a:t> (kg/m3)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274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1</xdr:row>
      <xdr:rowOff>80962</xdr:rowOff>
    </xdr:from>
    <xdr:to>
      <xdr:col>14</xdr:col>
      <xdr:colOff>676275</xdr:colOff>
      <xdr:row>15</xdr:row>
      <xdr:rowOff>157162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59D6906-F794-6B1B-6592-7B9E52118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3BD9-CDD5-466E-8377-0FF21156EEDB}">
  <dimension ref="A1:R47"/>
  <sheetViews>
    <sheetView tabSelected="1" topLeftCell="B1" workbookViewId="0">
      <selection activeCell="J20" sqref="J20"/>
    </sheetView>
  </sheetViews>
  <sheetFormatPr baseColWidth="10" defaultRowHeight="15"/>
  <cols>
    <col min="1" max="1" width="0" hidden="1" customWidth="1"/>
    <col min="7" max="7" width="18.28515625" customWidth="1"/>
  </cols>
  <sheetData>
    <row r="1" spans="1:8">
      <c r="A1" s="1" t="s">
        <v>5</v>
      </c>
      <c r="B1" s="4" t="s">
        <v>7</v>
      </c>
      <c r="C1" t="s">
        <v>4</v>
      </c>
      <c r="D1" t="s">
        <v>3</v>
      </c>
      <c r="E1" t="s">
        <v>2</v>
      </c>
      <c r="F1" t="s">
        <v>6</v>
      </c>
      <c r="G1" t="s">
        <v>1</v>
      </c>
      <c r="H1" t="s">
        <v>0</v>
      </c>
    </row>
    <row r="2" spans="1:8">
      <c r="A2" s="1">
        <v>285</v>
      </c>
      <c r="B2" s="4">
        <f>A2+273.15</f>
        <v>558.15</v>
      </c>
      <c r="C2">
        <v>755.43</v>
      </c>
      <c r="D2">
        <v>1258.4000000000001</v>
      </c>
      <c r="E2">
        <v>5.1554000000000002</v>
      </c>
      <c r="F2">
        <f>E2*1000</f>
        <v>5155.4000000000005</v>
      </c>
      <c r="G2" s="2">
        <v>9.4485000000000001E-5</v>
      </c>
      <c r="H2">
        <v>0.58636999999999995</v>
      </c>
    </row>
    <row r="3" spans="1:8">
      <c r="A3" s="1">
        <v>286</v>
      </c>
      <c r="B3" s="4">
        <f t="shared" ref="B3:B47" si="0">A3+273.15</f>
        <v>559.15</v>
      </c>
      <c r="C3">
        <v>753.62</v>
      </c>
      <c r="D3">
        <v>1263.5999999999999</v>
      </c>
      <c r="E3">
        <v>5.1723999999999997</v>
      </c>
      <c r="F3">
        <f t="shared" ref="F3:F47" si="1">E3*1000</f>
        <v>5172.3999999999996</v>
      </c>
      <c r="G3" s="2">
        <v>9.4084000000000002E-5</v>
      </c>
      <c r="H3">
        <v>0.58496999999999999</v>
      </c>
    </row>
    <row r="4" spans="1:8">
      <c r="A4" s="1">
        <v>287</v>
      </c>
      <c r="B4" s="4">
        <f t="shared" si="0"/>
        <v>560.15</v>
      </c>
      <c r="C4">
        <v>751.79</v>
      </c>
      <c r="D4">
        <v>1268.7</v>
      </c>
      <c r="E4">
        <v>5.1897000000000002</v>
      </c>
      <c r="F4">
        <f t="shared" si="1"/>
        <v>5189.7</v>
      </c>
      <c r="G4" s="2">
        <v>9.3684000000000006E-5</v>
      </c>
      <c r="H4">
        <v>0.58355000000000001</v>
      </c>
    </row>
    <row r="5" spans="1:8">
      <c r="A5" s="1">
        <v>288</v>
      </c>
      <c r="B5" s="4">
        <f t="shared" si="0"/>
        <v>561.15</v>
      </c>
      <c r="C5">
        <v>749.94</v>
      </c>
      <c r="D5">
        <v>1273.9000000000001</v>
      </c>
      <c r="E5">
        <v>5.2073999999999998</v>
      </c>
      <c r="F5">
        <f t="shared" si="1"/>
        <v>5207.3999999999996</v>
      </c>
      <c r="G5" s="2">
        <v>9.3284999999999999E-5</v>
      </c>
      <c r="H5">
        <v>0.58211000000000002</v>
      </c>
    </row>
    <row r="6" spans="1:8">
      <c r="A6" s="1">
        <v>289</v>
      </c>
      <c r="B6" s="4">
        <f t="shared" si="0"/>
        <v>562.15</v>
      </c>
      <c r="C6">
        <v>748.08</v>
      </c>
      <c r="D6">
        <v>1279.2</v>
      </c>
      <c r="E6">
        <v>5.2256</v>
      </c>
      <c r="F6">
        <f t="shared" si="1"/>
        <v>5225.6000000000004</v>
      </c>
      <c r="G6" s="2">
        <v>9.2886999999999993E-5</v>
      </c>
      <c r="H6">
        <v>0.58067000000000002</v>
      </c>
    </row>
    <row r="7" spans="1:8">
      <c r="A7" s="1">
        <v>290</v>
      </c>
      <c r="B7" s="4">
        <f t="shared" si="0"/>
        <v>563.15</v>
      </c>
      <c r="C7">
        <v>746.21</v>
      </c>
      <c r="D7">
        <v>1284.4000000000001</v>
      </c>
      <c r="E7">
        <v>5.2441000000000004</v>
      </c>
      <c r="F7">
        <f t="shared" si="1"/>
        <v>5244.1</v>
      </c>
      <c r="G7" s="2">
        <v>9.2489000000000002E-5</v>
      </c>
      <c r="H7">
        <v>0.57921999999999996</v>
      </c>
    </row>
    <row r="8" spans="1:8">
      <c r="A8" s="1">
        <v>291</v>
      </c>
      <c r="B8" s="4">
        <f t="shared" si="0"/>
        <v>564.15</v>
      </c>
      <c r="C8">
        <v>744.32</v>
      </c>
      <c r="D8">
        <v>1289.7</v>
      </c>
      <c r="E8">
        <v>5.2632000000000003</v>
      </c>
      <c r="F8">
        <f t="shared" si="1"/>
        <v>5263.2000000000007</v>
      </c>
      <c r="G8" s="2">
        <v>9.2091999999999999E-5</v>
      </c>
      <c r="H8">
        <v>0.57774999999999999</v>
      </c>
    </row>
    <row r="9" spans="1:8">
      <c r="A9" s="1">
        <v>292</v>
      </c>
      <c r="B9" s="4">
        <f t="shared" si="0"/>
        <v>565.15</v>
      </c>
      <c r="C9">
        <v>742.41</v>
      </c>
      <c r="D9">
        <v>1294.9000000000001</v>
      </c>
      <c r="E9">
        <v>5.2827000000000002</v>
      </c>
      <c r="F9">
        <f t="shared" si="1"/>
        <v>5282.7</v>
      </c>
      <c r="G9" s="2">
        <v>9.1694999999999995E-5</v>
      </c>
      <c r="H9">
        <v>0.57626999999999995</v>
      </c>
    </row>
    <row r="10" spans="1:8">
      <c r="A10" s="1">
        <v>293</v>
      </c>
      <c r="B10" s="4">
        <f t="shared" si="0"/>
        <v>566.15</v>
      </c>
      <c r="C10">
        <v>740.49</v>
      </c>
      <c r="D10">
        <v>1300.2</v>
      </c>
      <c r="E10">
        <v>5.3026</v>
      </c>
      <c r="F10">
        <f t="shared" si="1"/>
        <v>5302.6</v>
      </c>
      <c r="G10" s="2">
        <v>9.1298999999999994E-5</v>
      </c>
      <c r="H10">
        <v>0.57477999999999996</v>
      </c>
    </row>
    <row r="11" spans="1:8">
      <c r="A11" s="1">
        <v>294</v>
      </c>
      <c r="B11" s="4">
        <f t="shared" si="0"/>
        <v>567.15</v>
      </c>
      <c r="C11">
        <v>738.54</v>
      </c>
      <c r="D11">
        <v>1305.5</v>
      </c>
      <c r="E11">
        <v>5.3231000000000002</v>
      </c>
      <c r="F11">
        <f t="shared" si="1"/>
        <v>5323.1</v>
      </c>
      <c r="G11" s="2">
        <v>9.0902000000000005E-5</v>
      </c>
      <c r="H11">
        <v>0.57328000000000001</v>
      </c>
    </row>
    <row r="12" spans="1:8">
      <c r="A12" s="1">
        <v>295</v>
      </c>
      <c r="B12" s="4">
        <f t="shared" si="0"/>
        <v>568.15</v>
      </c>
      <c r="C12">
        <v>736.59</v>
      </c>
      <c r="D12">
        <v>1310.9</v>
      </c>
      <c r="E12">
        <v>5.3441000000000001</v>
      </c>
      <c r="F12">
        <f t="shared" si="1"/>
        <v>5344.1</v>
      </c>
      <c r="G12" s="2">
        <v>9.0507000000000006E-5</v>
      </c>
      <c r="H12">
        <v>0.57176000000000005</v>
      </c>
    </row>
    <row r="13" spans="1:8">
      <c r="A13" s="1">
        <v>296</v>
      </c>
      <c r="B13" s="4">
        <f t="shared" si="0"/>
        <v>569.15</v>
      </c>
      <c r="C13">
        <v>734.61</v>
      </c>
      <c r="D13">
        <v>1316.2</v>
      </c>
      <c r="E13">
        <v>5.3657000000000004</v>
      </c>
      <c r="F13">
        <f t="shared" si="1"/>
        <v>5365.7000000000007</v>
      </c>
      <c r="G13" s="2">
        <v>9.0111000000000005E-5</v>
      </c>
      <c r="H13">
        <v>0.57023999999999997</v>
      </c>
    </row>
    <row r="14" spans="1:8">
      <c r="A14" s="1">
        <v>297</v>
      </c>
      <c r="B14" s="4">
        <f t="shared" si="0"/>
        <v>570.15</v>
      </c>
      <c r="C14">
        <v>732.61</v>
      </c>
      <c r="D14">
        <v>1321.6</v>
      </c>
      <c r="E14">
        <v>5.3878000000000004</v>
      </c>
      <c r="F14">
        <f t="shared" si="1"/>
        <v>5387.8</v>
      </c>
      <c r="G14" s="2">
        <v>8.9716000000000006E-5</v>
      </c>
      <c r="H14">
        <v>0.56869999999999998</v>
      </c>
    </row>
    <row r="15" spans="1:8">
      <c r="A15" s="1">
        <v>298</v>
      </c>
      <c r="B15" s="4">
        <f t="shared" si="0"/>
        <v>571.15</v>
      </c>
      <c r="C15">
        <v>730.6</v>
      </c>
      <c r="D15">
        <v>1327</v>
      </c>
      <c r="E15">
        <v>5.4104999999999999</v>
      </c>
      <c r="F15">
        <f t="shared" si="1"/>
        <v>5410.5</v>
      </c>
      <c r="G15" s="2">
        <v>8.9320000000000005E-5</v>
      </c>
      <c r="H15">
        <v>0.56713999999999998</v>
      </c>
    </row>
    <row r="16" spans="1:8">
      <c r="A16" s="1">
        <v>299</v>
      </c>
      <c r="B16" s="4">
        <f t="shared" si="0"/>
        <v>572.15</v>
      </c>
      <c r="C16">
        <v>728.57</v>
      </c>
      <c r="D16">
        <v>1332.4</v>
      </c>
      <c r="E16">
        <v>5.4339000000000004</v>
      </c>
      <c r="F16">
        <f t="shared" si="1"/>
        <v>5433.9000000000005</v>
      </c>
      <c r="G16" s="2">
        <v>8.8925000000000007E-5</v>
      </c>
      <c r="H16">
        <v>0.56557000000000002</v>
      </c>
    </row>
    <row r="17" spans="1:18">
      <c r="A17" s="1">
        <v>300</v>
      </c>
      <c r="B17" s="4">
        <f t="shared" si="0"/>
        <v>573.15</v>
      </c>
      <c r="C17">
        <v>726.51</v>
      </c>
      <c r="D17">
        <v>1337.9</v>
      </c>
      <c r="E17">
        <v>5.4579000000000004</v>
      </c>
      <c r="F17">
        <f t="shared" si="1"/>
        <v>5457.9000000000005</v>
      </c>
      <c r="G17" s="2">
        <v>8.8529999999999994E-5</v>
      </c>
      <c r="H17">
        <v>0.56398999999999999</v>
      </c>
    </row>
    <row r="18" spans="1:18">
      <c r="A18" s="1">
        <v>301</v>
      </c>
      <c r="B18" s="4">
        <f t="shared" si="0"/>
        <v>574.15</v>
      </c>
      <c r="C18">
        <v>724.44</v>
      </c>
      <c r="D18">
        <v>1343.3</v>
      </c>
      <c r="E18">
        <v>5.4824999999999999</v>
      </c>
      <c r="F18">
        <f t="shared" si="1"/>
        <v>5482.5</v>
      </c>
      <c r="G18" s="2">
        <v>8.8133999999999993E-5</v>
      </c>
      <c r="H18">
        <v>0.56240000000000001</v>
      </c>
      <c r="P18">
        <v>0</v>
      </c>
      <c r="Q18">
        <f>$L$24+$L$24*P18</f>
        <v>0.2005613</v>
      </c>
      <c r="R18" s="3">
        <f>$N$22+P18*$N$25</f>
        <v>558.15</v>
      </c>
    </row>
    <row r="19" spans="1:18">
      <c r="A19" s="1">
        <v>302</v>
      </c>
      <c r="B19" s="4">
        <f t="shared" si="0"/>
        <v>575.15</v>
      </c>
      <c r="C19">
        <v>722.35</v>
      </c>
      <c r="D19">
        <v>1348.8</v>
      </c>
      <c r="E19">
        <v>5.5079000000000002</v>
      </c>
      <c r="F19">
        <f t="shared" si="1"/>
        <v>5507.9000000000005</v>
      </c>
      <c r="G19" s="2">
        <v>8.7738000000000006E-5</v>
      </c>
      <c r="H19">
        <v>0.56079000000000001</v>
      </c>
      <c r="J19">
        <f>-0.0136*J20^2+13.483*J20-2542.1</f>
        <v>678.71000000000049</v>
      </c>
      <c r="P19">
        <v>1</v>
      </c>
      <c r="Q19">
        <f t="shared" ref="Q19:Q27" si="2">$L$24+$L$24*P19</f>
        <v>0.4011226</v>
      </c>
      <c r="R19" s="3">
        <f t="shared" ref="R19:R27" si="3">$N$22+P19*$N$25</f>
        <v>561.13499999999999</v>
      </c>
    </row>
    <row r="20" spans="1:18">
      <c r="A20" s="1">
        <v>303</v>
      </c>
      <c r="B20" s="4">
        <f t="shared" si="0"/>
        <v>576.15</v>
      </c>
      <c r="C20">
        <v>720.23</v>
      </c>
      <c r="D20">
        <v>1354.3</v>
      </c>
      <c r="E20">
        <v>5.5339999999999998</v>
      </c>
      <c r="F20">
        <f t="shared" si="1"/>
        <v>5534</v>
      </c>
      <c r="G20" s="2">
        <v>8.7342000000000005E-5</v>
      </c>
      <c r="H20">
        <v>0.55916999999999994</v>
      </c>
      <c r="J20">
        <v>590</v>
      </c>
      <c r="P20">
        <v>2</v>
      </c>
      <c r="Q20">
        <f t="shared" si="2"/>
        <v>0.60168390000000005</v>
      </c>
      <c r="R20" s="3">
        <f t="shared" si="3"/>
        <v>564.12</v>
      </c>
    </row>
    <row r="21" spans="1:18">
      <c r="A21" s="1">
        <v>304</v>
      </c>
      <c r="B21" s="4">
        <f t="shared" si="0"/>
        <v>577.15</v>
      </c>
      <c r="C21">
        <v>718.09</v>
      </c>
      <c r="D21">
        <v>1359.9</v>
      </c>
      <c r="E21">
        <v>5.5609000000000002</v>
      </c>
      <c r="F21">
        <f t="shared" si="1"/>
        <v>5560.9000000000005</v>
      </c>
      <c r="G21" s="2">
        <v>8.6945000000000002E-5</v>
      </c>
      <c r="H21">
        <v>0.55752999999999997</v>
      </c>
      <c r="J21">
        <f>J20-273</f>
        <v>317</v>
      </c>
      <c r="P21">
        <v>3</v>
      </c>
      <c r="Q21">
        <f t="shared" si="2"/>
        <v>0.80224519999999999</v>
      </c>
      <c r="R21" s="3">
        <f t="shared" si="3"/>
        <v>567.10500000000002</v>
      </c>
    </row>
    <row r="22" spans="1:18">
      <c r="A22" s="1">
        <v>305</v>
      </c>
      <c r="B22" s="4">
        <f t="shared" si="0"/>
        <v>578.15</v>
      </c>
      <c r="C22">
        <v>715.93</v>
      </c>
      <c r="D22">
        <v>1365.5</v>
      </c>
      <c r="E22">
        <v>5.5885999999999996</v>
      </c>
      <c r="F22">
        <f t="shared" si="1"/>
        <v>5588.5999999999995</v>
      </c>
      <c r="G22" s="2">
        <v>8.6547999999999999E-5</v>
      </c>
      <c r="H22">
        <v>0.55588000000000004</v>
      </c>
      <c r="N22">
        <v>558.15</v>
      </c>
      <c r="P22">
        <v>4</v>
      </c>
      <c r="Q22">
        <f t="shared" si="2"/>
        <v>1.0028064999999999</v>
      </c>
      <c r="R22" s="3">
        <f t="shared" si="3"/>
        <v>570.09</v>
      </c>
    </row>
    <row r="23" spans="1:18">
      <c r="A23" s="1">
        <v>306</v>
      </c>
      <c r="B23" s="4">
        <f t="shared" si="0"/>
        <v>579.15</v>
      </c>
      <c r="C23">
        <v>713.75</v>
      </c>
      <c r="D23">
        <v>1371.1</v>
      </c>
      <c r="E23">
        <v>5.6172000000000004</v>
      </c>
      <c r="F23">
        <f t="shared" si="1"/>
        <v>5617.2000000000007</v>
      </c>
      <c r="G23" s="2">
        <v>8.6149999999999993E-5</v>
      </c>
      <c r="H23">
        <v>0.55422000000000005</v>
      </c>
      <c r="L23">
        <v>2.0056129999999999</v>
      </c>
      <c r="N23">
        <v>588</v>
      </c>
      <c r="P23">
        <v>5</v>
      </c>
      <c r="Q23">
        <f t="shared" si="2"/>
        <v>1.2033677999999999</v>
      </c>
      <c r="R23" s="3">
        <f t="shared" si="3"/>
        <v>573.07500000000005</v>
      </c>
    </row>
    <row r="24" spans="1:18">
      <c r="A24" s="1">
        <v>307</v>
      </c>
      <c r="B24" s="4">
        <f t="shared" si="0"/>
        <v>580.15</v>
      </c>
      <c r="C24">
        <v>711.54</v>
      </c>
      <c r="D24">
        <v>1376.7</v>
      </c>
      <c r="E24">
        <v>5.6467000000000001</v>
      </c>
      <c r="F24">
        <f t="shared" si="1"/>
        <v>5646.7</v>
      </c>
      <c r="G24" s="2">
        <v>8.5750999999999999E-5</v>
      </c>
      <c r="H24">
        <v>0.55252999999999997</v>
      </c>
      <c r="K24">
        <v>10</v>
      </c>
      <c r="L24">
        <f>L23/K24</f>
        <v>0.2005613</v>
      </c>
      <c r="P24">
        <v>6</v>
      </c>
      <c r="Q24">
        <f t="shared" si="2"/>
        <v>1.4039291</v>
      </c>
      <c r="R24" s="3">
        <f t="shared" si="3"/>
        <v>576.05999999999995</v>
      </c>
    </row>
    <row r="25" spans="1:18">
      <c r="A25" s="1">
        <v>308</v>
      </c>
      <c r="B25" s="4">
        <f t="shared" si="0"/>
        <v>581.15</v>
      </c>
      <c r="C25">
        <v>709.3</v>
      </c>
      <c r="D25">
        <v>1382.4</v>
      </c>
      <c r="E25">
        <v>5.6771000000000003</v>
      </c>
      <c r="F25">
        <f t="shared" si="1"/>
        <v>5677.1</v>
      </c>
      <c r="G25" s="2">
        <v>8.5352000000000005E-5</v>
      </c>
      <c r="H25">
        <v>0.55084</v>
      </c>
      <c r="N25">
        <f>(N23-N22)/K24</f>
        <v>2.9850000000000021</v>
      </c>
      <c r="P25">
        <v>7</v>
      </c>
      <c r="Q25">
        <f t="shared" si="2"/>
        <v>1.6044904</v>
      </c>
      <c r="R25" s="3">
        <f t="shared" si="3"/>
        <v>579.04499999999996</v>
      </c>
    </row>
    <row r="26" spans="1:18">
      <c r="A26" s="1">
        <v>309</v>
      </c>
      <c r="B26" s="4">
        <f t="shared" si="0"/>
        <v>582.15</v>
      </c>
      <c r="C26">
        <v>707.04</v>
      </c>
      <c r="D26">
        <v>1388.1</v>
      </c>
      <c r="E26">
        <v>5.7084999999999999</v>
      </c>
      <c r="F26">
        <f t="shared" si="1"/>
        <v>5708.5</v>
      </c>
      <c r="G26" s="2">
        <v>8.4950999999999994E-5</v>
      </c>
      <c r="H26">
        <v>0.54912000000000005</v>
      </c>
      <c r="P26">
        <v>8</v>
      </c>
      <c r="Q26">
        <f t="shared" si="2"/>
        <v>1.8050516999999999</v>
      </c>
      <c r="R26" s="3">
        <f t="shared" si="3"/>
        <v>582.03</v>
      </c>
    </row>
    <row r="27" spans="1:18">
      <c r="A27" s="1">
        <v>310</v>
      </c>
      <c r="B27" s="4">
        <f t="shared" si="0"/>
        <v>583.15</v>
      </c>
      <c r="C27">
        <v>704.76</v>
      </c>
      <c r="D27">
        <v>1393.8</v>
      </c>
      <c r="E27">
        <v>5.7409999999999997</v>
      </c>
      <c r="F27">
        <f t="shared" si="1"/>
        <v>5741</v>
      </c>
      <c r="G27" s="2">
        <v>8.4549999999999995E-5</v>
      </c>
      <c r="H27">
        <v>0.54739000000000004</v>
      </c>
      <c r="P27">
        <v>9</v>
      </c>
      <c r="Q27">
        <f t="shared" si="2"/>
        <v>2.0056129999999999</v>
      </c>
      <c r="R27" s="3">
        <f t="shared" si="3"/>
        <v>585.01499999999999</v>
      </c>
    </row>
    <row r="28" spans="1:18">
      <c r="A28" s="1">
        <v>311</v>
      </c>
      <c r="B28" s="4">
        <f t="shared" si="0"/>
        <v>584.15</v>
      </c>
      <c r="C28">
        <v>702.44</v>
      </c>
      <c r="D28">
        <v>1399.5</v>
      </c>
      <c r="E28">
        <v>5.7744999999999997</v>
      </c>
      <c r="F28">
        <f t="shared" si="1"/>
        <v>5774.5</v>
      </c>
      <c r="G28" s="2">
        <v>8.4147000000000006E-5</v>
      </c>
      <c r="H28">
        <v>0.54564999999999997</v>
      </c>
      <c r="J28">
        <v>590.15</v>
      </c>
    </row>
    <row r="29" spans="1:18">
      <c r="A29" s="1">
        <v>312</v>
      </c>
      <c r="B29" s="4">
        <f t="shared" si="0"/>
        <v>585.15</v>
      </c>
      <c r="C29">
        <v>700.1</v>
      </c>
      <c r="D29">
        <v>1405.3</v>
      </c>
      <c r="E29">
        <v>5.8093000000000004</v>
      </c>
      <c r="F29">
        <f t="shared" si="1"/>
        <v>5809.3</v>
      </c>
      <c r="G29" s="2">
        <v>8.3743000000000001E-5</v>
      </c>
      <c r="H29">
        <v>0.54388000000000003</v>
      </c>
      <c r="J29">
        <f xml:space="preserve"> 0.566*J28^2 - 623.813*J28 + 177054.2225</f>
        <v>6035.7752849999815</v>
      </c>
    </row>
    <row r="30" spans="1:18">
      <c r="A30" s="1">
        <v>313</v>
      </c>
      <c r="B30" s="4">
        <f t="shared" si="0"/>
        <v>586.15</v>
      </c>
      <c r="C30">
        <v>697.73</v>
      </c>
      <c r="D30">
        <v>1411.2</v>
      </c>
      <c r="E30">
        <v>5.8452999999999999</v>
      </c>
      <c r="F30">
        <f t="shared" si="1"/>
        <v>5845.3</v>
      </c>
      <c r="G30" s="2">
        <v>8.3337999999999994E-5</v>
      </c>
      <c r="H30">
        <v>0.54210000000000003</v>
      </c>
    </row>
    <row r="31" spans="1:18">
      <c r="A31" s="1">
        <v>314</v>
      </c>
      <c r="B31" s="4">
        <f t="shared" si="0"/>
        <v>587.15</v>
      </c>
      <c r="C31">
        <v>695.32</v>
      </c>
      <c r="D31">
        <v>1417</v>
      </c>
      <c r="E31">
        <v>5.8826000000000001</v>
      </c>
      <c r="F31">
        <f t="shared" si="1"/>
        <v>5882.6</v>
      </c>
      <c r="G31" s="2">
        <v>8.2930999999999996E-5</v>
      </c>
      <c r="H31">
        <v>0.5403</v>
      </c>
    </row>
    <row r="32" spans="1:18">
      <c r="A32" s="1">
        <v>315</v>
      </c>
      <c r="B32" s="4">
        <f t="shared" si="0"/>
        <v>588.15</v>
      </c>
      <c r="C32">
        <v>692.89</v>
      </c>
      <c r="D32">
        <v>1422.9</v>
      </c>
      <c r="E32">
        <v>5.9212999999999996</v>
      </c>
      <c r="F32">
        <f t="shared" si="1"/>
        <v>5921.2999999999993</v>
      </c>
      <c r="G32" s="2">
        <v>8.2522999999999996E-5</v>
      </c>
      <c r="H32">
        <v>0.53847999999999996</v>
      </c>
    </row>
    <row r="33" spans="1:8">
      <c r="A33" s="1">
        <v>316</v>
      </c>
      <c r="B33" s="4">
        <f t="shared" si="0"/>
        <v>589.15</v>
      </c>
      <c r="C33">
        <v>690.42</v>
      </c>
      <c r="D33">
        <v>1428.9</v>
      </c>
      <c r="E33">
        <v>5.9614000000000003</v>
      </c>
      <c r="F33">
        <f t="shared" si="1"/>
        <v>5961.4000000000005</v>
      </c>
      <c r="G33" s="2">
        <v>8.2112000000000003E-5</v>
      </c>
      <c r="H33">
        <v>0.53664999999999996</v>
      </c>
    </row>
    <row r="34" spans="1:8">
      <c r="A34" s="1">
        <v>317</v>
      </c>
      <c r="B34" s="4">
        <f t="shared" si="0"/>
        <v>590.15</v>
      </c>
      <c r="C34">
        <v>687.92</v>
      </c>
      <c r="D34">
        <v>1434.8</v>
      </c>
      <c r="E34">
        <v>6.0031999999999996</v>
      </c>
      <c r="F34">
        <f t="shared" si="1"/>
        <v>6003.2</v>
      </c>
      <c r="G34" s="2">
        <v>8.1699999999999994E-5</v>
      </c>
      <c r="H34">
        <v>0.53478999999999999</v>
      </c>
    </row>
    <row r="35" spans="1:8">
      <c r="A35" s="1">
        <v>318</v>
      </c>
      <c r="B35" s="4">
        <f t="shared" si="0"/>
        <v>591.15</v>
      </c>
      <c r="C35">
        <v>685.39</v>
      </c>
      <c r="D35">
        <v>1440.9</v>
      </c>
      <c r="E35">
        <v>6.0465999999999998</v>
      </c>
      <c r="F35">
        <f t="shared" si="1"/>
        <v>6046.5999999999995</v>
      </c>
      <c r="G35" s="2">
        <v>8.1285999999999994E-5</v>
      </c>
      <c r="H35">
        <v>0.53291999999999995</v>
      </c>
    </row>
    <row r="36" spans="1:8">
      <c r="A36" s="1">
        <v>319</v>
      </c>
      <c r="B36" s="4">
        <f t="shared" si="0"/>
        <v>592.15</v>
      </c>
      <c r="C36">
        <v>682.81</v>
      </c>
      <c r="D36">
        <v>1446.9</v>
      </c>
      <c r="E36">
        <v>6.0918000000000001</v>
      </c>
      <c r="F36">
        <f t="shared" si="1"/>
        <v>6091.8</v>
      </c>
      <c r="G36" s="2">
        <v>8.0869000000000001E-5</v>
      </c>
      <c r="H36">
        <v>0.53102000000000005</v>
      </c>
    </row>
    <row r="37" spans="1:8">
      <c r="A37" s="1">
        <v>320</v>
      </c>
      <c r="B37" s="4">
        <f t="shared" si="0"/>
        <v>593.15</v>
      </c>
      <c r="C37">
        <v>680.2</v>
      </c>
      <c r="D37">
        <v>1453.1</v>
      </c>
      <c r="E37">
        <v>6.1388999999999996</v>
      </c>
      <c r="F37">
        <f t="shared" si="1"/>
        <v>6138.9</v>
      </c>
      <c r="G37" s="2">
        <v>8.0449000000000002E-5</v>
      </c>
      <c r="H37">
        <v>0.52910000000000001</v>
      </c>
    </row>
    <row r="38" spans="1:8">
      <c r="A38" s="1">
        <v>321</v>
      </c>
      <c r="B38" s="4">
        <f t="shared" si="0"/>
        <v>594.15</v>
      </c>
      <c r="C38">
        <v>677.55</v>
      </c>
      <c r="D38">
        <v>1459.2</v>
      </c>
      <c r="E38">
        <v>6.1879999999999997</v>
      </c>
      <c r="F38">
        <f t="shared" si="1"/>
        <v>6188</v>
      </c>
      <c r="G38" s="2">
        <v>8.0026999999999998E-5</v>
      </c>
      <c r="H38">
        <v>0.52715999999999996</v>
      </c>
    </row>
    <row r="39" spans="1:8">
      <c r="A39" s="1">
        <v>322</v>
      </c>
      <c r="B39" s="4">
        <f t="shared" si="0"/>
        <v>595.15</v>
      </c>
      <c r="C39">
        <v>674.86</v>
      </c>
      <c r="D39">
        <v>1465.4</v>
      </c>
      <c r="E39">
        <v>6.2393999999999998</v>
      </c>
      <c r="F39">
        <f t="shared" si="1"/>
        <v>6239.4</v>
      </c>
      <c r="G39" s="2">
        <v>7.9602000000000001E-5</v>
      </c>
      <c r="H39">
        <v>0.5252</v>
      </c>
    </row>
    <row r="40" spans="1:8">
      <c r="A40" s="1">
        <v>323</v>
      </c>
      <c r="B40" s="4">
        <f t="shared" si="0"/>
        <v>596.15</v>
      </c>
      <c r="C40">
        <v>672.12</v>
      </c>
      <c r="D40">
        <v>1471.7</v>
      </c>
      <c r="E40">
        <v>6.2930999999999999</v>
      </c>
      <c r="F40">
        <f t="shared" si="1"/>
        <v>6293.1</v>
      </c>
      <c r="G40" s="2">
        <v>7.9173999999999998E-5</v>
      </c>
      <c r="H40">
        <v>0.52320999999999995</v>
      </c>
    </row>
    <row r="41" spans="1:8">
      <c r="A41" s="1">
        <v>324</v>
      </c>
      <c r="B41" s="4">
        <f t="shared" si="0"/>
        <v>597.15</v>
      </c>
      <c r="C41">
        <v>669.34</v>
      </c>
      <c r="D41">
        <v>1478</v>
      </c>
      <c r="E41">
        <v>6.3493000000000004</v>
      </c>
      <c r="F41">
        <f t="shared" si="1"/>
        <v>6349.3</v>
      </c>
      <c r="G41" s="2">
        <v>7.8743000000000001E-5</v>
      </c>
      <c r="H41">
        <v>0.5212</v>
      </c>
    </row>
    <row r="42" spans="1:8">
      <c r="A42" s="1">
        <v>325</v>
      </c>
      <c r="B42" s="4">
        <f t="shared" si="0"/>
        <v>598.15</v>
      </c>
      <c r="C42">
        <v>666.51</v>
      </c>
      <c r="D42">
        <v>1484.4</v>
      </c>
      <c r="E42">
        <v>6.4082999999999997</v>
      </c>
      <c r="F42">
        <f t="shared" si="1"/>
        <v>6408.2999999999993</v>
      </c>
      <c r="G42" s="2">
        <v>7.8307999999999996E-5</v>
      </c>
      <c r="H42">
        <v>0.51917000000000002</v>
      </c>
    </row>
    <row r="43" spans="1:8">
      <c r="A43" s="1">
        <v>326</v>
      </c>
      <c r="B43" s="4">
        <f t="shared" si="0"/>
        <v>599.15</v>
      </c>
      <c r="C43">
        <v>663.63</v>
      </c>
      <c r="D43">
        <v>1490.8</v>
      </c>
      <c r="E43">
        <v>6.4702999999999999</v>
      </c>
      <c r="F43">
        <f t="shared" si="1"/>
        <v>6470.3</v>
      </c>
      <c r="G43" s="2">
        <v>7.7868999999999996E-5</v>
      </c>
      <c r="H43">
        <v>0.51710999999999996</v>
      </c>
    </row>
    <row r="44" spans="1:8">
      <c r="A44" s="1">
        <v>327</v>
      </c>
      <c r="B44" s="4">
        <f t="shared" si="0"/>
        <v>600.15</v>
      </c>
      <c r="C44">
        <v>660.69</v>
      </c>
      <c r="D44">
        <v>1497.3</v>
      </c>
      <c r="E44">
        <v>6.5354000000000001</v>
      </c>
      <c r="F44">
        <f t="shared" si="1"/>
        <v>6535.4000000000005</v>
      </c>
      <c r="G44" s="2">
        <v>7.7426E-5</v>
      </c>
      <c r="H44">
        <v>0.51502000000000003</v>
      </c>
    </row>
    <row r="45" spans="1:8">
      <c r="A45" s="1">
        <v>328</v>
      </c>
      <c r="B45" s="4">
        <f t="shared" si="0"/>
        <v>601.15</v>
      </c>
      <c r="C45">
        <v>657.7</v>
      </c>
      <c r="D45">
        <v>1503.9</v>
      </c>
      <c r="E45">
        <v>6.6040999999999999</v>
      </c>
      <c r="F45">
        <f t="shared" si="1"/>
        <v>6604.0999999999995</v>
      </c>
      <c r="G45" s="2">
        <v>7.6977999999999994E-5</v>
      </c>
      <c r="H45">
        <v>0.51290999999999998</v>
      </c>
    </row>
    <row r="46" spans="1:8">
      <c r="A46" s="1">
        <v>329</v>
      </c>
      <c r="B46" s="4">
        <f t="shared" si="0"/>
        <v>602.15</v>
      </c>
      <c r="C46">
        <v>654.66</v>
      </c>
      <c r="D46">
        <v>1510.6</v>
      </c>
      <c r="E46">
        <v>6.6767000000000003</v>
      </c>
      <c r="F46">
        <f t="shared" si="1"/>
        <v>6676.7000000000007</v>
      </c>
      <c r="G46" s="2">
        <v>7.6525000000000003E-5</v>
      </c>
      <c r="H46">
        <v>0.51075999999999999</v>
      </c>
    </row>
    <row r="47" spans="1:8">
      <c r="A47" s="1">
        <v>330</v>
      </c>
      <c r="B47" s="4">
        <f t="shared" si="0"/>
        <v>603.15</v>
      </c>
      <c r="C47">
        <v>651.54999999999995</v>
      </c>
      <c r="D47">
        <v>1517.3</v>
      </c>
      <c r="E47">
        <v>6.7534999999999998</v>
      </c>
      <c r="F47">
        <f t="shared" si="1"/>
        <v>6753.5</v>
      </c>
      <c r="G47" s="2">
        <v>7.6068000000000004E-5</v>
      </c>
      <c r="H47">
        <v>0.50858999999999999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Guinand</dc:creator>
  <cp:lastModifiedBy>Mathieu Guinand</cp:lastModifiedBy>
  <dcterms:created xsi:type="dcterms:W3CDTF">2025-10-21T09:10:06Z</dcterms:created>
  <dcterms:modified xsi:type="dcterms:W3CDTF">2025-11-12T00:44:41Z</dcterms:modified>
</cp:coreProperties>
</file>