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menervepa\MP_platform_project\Useful_files\"/>
    </mc:Choice>
  </mc:AlternateContent>
  <xr:revisionPtr revIDLastSave="0" documentId="13_ncr:1_{694DB1A0-3A3D-4CDC-8891-5954141D2A63}" xr6:coauthVersionLast="47" xr6:coauthVersionMax="47" xr10:uidLastSave="{00000000-0000-0000-0000-000000000000}"/>
  <bookViews>
    <workbookView xWindow="-120" yWindow="-120" windowWidth="29040" windowHeight="15720" activeTab="2" xr2:uid="{E27880FF-EEEF-46E7-A40D-8C01EE670876}"/>
  </bookViews>
  <sheets>
    <sheet name="Premier départ" sheetId="1" r:id="rId1"/>
    <sheet name="Second départ" sheetId="2" r:id="rId2"/>
    <sheet name="Feuil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" l="1"/>
  <c r="G3" i="2"/>
  <c r="G2" i="2"/>
</calcChain>
</file>

<file path=xl/sharedStrings.xml><?xml version="1.0" encoding="utf-8"?>
<sst xmlns="http://schemas.openxmlformats.org/spreadsheetml/2006/main" count="117" uniqueCount="63">
  <si>
    <t>divSchemes(h)</t>
  </si>
  <si>
    <t>renumberMesh</t>
  </si>
  <si>
    <t>Yes</t>
  </si>
  <si>
    <t>relaxationFactor (h)</t>
  </si>
  <si>
    <t>Gauss LUST grad(h)</t>
  </si>
  <si>
    <t>N°</t>
  </si>
  <si>
    <t>Itérations</t>
  </si>
  <si>
    <t>Temps (s)</t>
  </si>
  <si>
    <t>Gauss upwind</t>
  </si>
  <si>
    <t>setFields</t>
  </si>
  <si>
    <t>solver (h)</t>
  </si>
  <si>
    <t>PBiCGStab/DILU</t>
  </si>
  <si>
    <t>smoothSolver/symGaussSeidel</t>
  </si>
  <si>
    <t>GAMG/DILU</t>
  </si>
  <si>
    <t>relaxationFactor (p_rgh)</t>
  </si>
  <si>
    <t>solver (p_rgh)</t>
  </si>
  <si>
    <t>GradSchemes(p_rgh)</t>
  </si>
  <si>
    <t>Gauss linear</t>
  </si>
  <si>
    <t>relaxationFactor (p)</t>
  </si>
  <si>
    <t>0.7</t>
  </si>
  <si>
    <t>0.5</t>
  </si>
  <si>
    <t>GAMG/DIC</t>
  </si>
  <si>
    <t>0.3</t>
  </si>
  <si>
    <t>cellLimited Gauss linear 1</t>
  </si>
  <si>
    <t>modif à revérifier</t>
  </si>
  <si>
    <t>a FAIRE</t>
  </si>
  <si>
    <t>smoothSolver:  Solving for h, Initial residual = 0.000148573, Final residual = 5.08437e-11, No Iterations 11</t>
  </si>
  <si>
    <t>GAMG:  Solving for p_rgh, Initial residual = 0.000468962, Final residual = 2.21039e-06, No Iterations 3</t>
  </si>
  <si>
    <t>GAMG:  Solving for p_rgh, Initial residual = 2.8991e-05, Final residual = 2.43775e-07, No Iterations 4</t>
  </si>
  <si>
    <t>time step continuity errors : sum local = 0.00252786, global = 1.70813e-12, cumulative = -6.2105e-10</t>
  </si>
  <si>
    <t>rho min/max : 683.891 746.611</t>
  </si>
  <si>
    <t>smoothSolver:  Solving for epsilon, Initial residual = 0.000101755, Final residual = 8.73538e-09, No Iterations 2</t>
  </si>
  <si>
    <t>smoothSolver:  Solving for k, Initial residual = 0.000652248, Final residual = 1.3253e-07, No Iterations 2</t>
  </si>
  <si>
    <t>ExecutionTime = 4657.3 s  ClockTime = 4670 s</t>
  </si>
  <si>
    <t>SIMPLE solution converged in 168 iterations</t>
  </si>
  <si>
    <t>End</t>
  </si>
  <si>
    <t>smoothSolver:  Solving for h, Initial residual = 9.96461e-05, Final residual = 7.11715e-06, No Iterations 2</t>
  </si>
  <si>
    <t>GAMG:  Solving for p_rgh, Initial residual = 0.000266345, Final residual = 1.41161e-06, No Iterations 3</t>
  </si>
  <si>
    <t>GAMG:  Solving for p_rgh, Initial residual = 1.64975e-05, Final residual = 1.13382e-07, No Iterations 12</t>
  </si>
  <si>
    <t>time step continuity errors : sum local = 0.00118166, global = -4.49914e-12, cumulative = -7.59842e-10</t>
  </si>
  <si>
    <t>rho min/max : 681.524 746.636</t>
  </si>
  <si>
    <t>smoothSolver:  Solving for epsilon, Initial residual = 5.64944e-05, Final residual = 5.23853e-09, No Iterations 2</t>
  </si>
  <si>
    <t>smoothSolver:  Solving for k, Initial residual = 0.000371297, Final residual = 7.59475e-08, No Iterations 2</t>
  </si>
  <si>
    <t>ExecutionTime = 5389.57 s  ClockTime = 5394 s</t>
  </si>
  <si>
    <t>SIMPLE solution converged in 198 iterations</t>
  </si>
  <si>
    <t>smoothSolver:  Solving for h, Initial residual = 9.95405e-05, Final residual = 3.57941e-11, No Iterations 11</t>
  </si>
  <si>
    <t>GAMG:  Solving for p_rgh, Initial residual = 0.000299002, Final residual = 1.54157e-06, No Iterations 3</t>
  </si>
  <si>
    <t>GAMG:  Solving for p_rgh, Initial residual = 1.82667e-05, Final residual = 1.755e-07, No Iterations 10</t>
  </si>
  <si>
    <t>time step continuity errors : sum local = 0.00183088, global = -6.2974e-12, cumulative = -7.02774e-10</t>
  </si>
  <si>
    <t>rho min/max : 681.93 746.617</t>
  </si>
  <si>
    <t>smoothSolver:  Solving for epsilon, Initial residual = 6.62786e-05, Final residual = 6.1582e-09, No Iterations 2</t>
  </si>
  <si>
    <t>smoothSolver:  Solving for k, Initial residual = 0.000428194, Final residual = 8.74074e-08, No Iterations 2</t>
  </si>
  <si>
    <t>ExecutionTime = 5187.69 s  ClockTime = 5199 s</t>
  </si>
  <si>
    <t>SIMPLE solution converged in 190 iterations</t>
  </si>
  <si>
    <t>smoothSolver:  Solving for h, Initial residual = 9.93079e-05, Final residual = 6.48205e-11, No Iterations 29</t>
  </si>
  <si>
    <t>GAMG:  Solving for p_rgh, Initial residual = 0.000270622, Final residual = 1.56265e-06, No Iterations 3</t>
  </si>
  <si>
    <t>GAMG:  Solving for p_rgh, Initial residual = 1.64633e-05, Final residual = 1.5299e-07, No Iterations 14</t>
  </si>
  <si>
    <t>time step continuity errors : sum local = 0.00224058, global = -3.77338e-12, cumulative = -5.16519e-10</t>
  </si>
  <si>
    <t>rho min/max : 680.32 746.618</t>
  </si>
  <si>
    <t>smoothSolver:  Solving for epsilon, Initial residual = 4.54272e-05, Final residual = 3.88456e-07, No Iterations 2</t>
  </si>
  <si>
    <t>smoothSolver:  Solving for k, Initial residual = 0.000359158, Final residual = 6.70425e-06, No Iterations 2</t>
  </si>
  <si>
    <t>ExecutionTime = 4261.69 s  ClockTime = 4263 s</t>
  </si>
  <si>
    <t>SIMPLE solution converged in 138 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</si>
</sst>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B305-B0CD-481E-83B5-5C0B897B45FC}">
  <dimension ref="A1:L9"/>
  <sheetViews>
    <sheetView workbookViewId="0">
      <selection activeCell="G6" sqref="G6:J6"/>
    </sheetView>
  </sheetViews>
  <sheetFormatPr baseColWidth="10" defaultRowHeight="15" x14ac:dyDescent="0.25"/>
  <cols>
    <col min="2" max="2" width="22.28515625" customWidth="1"/>
    <col min="3" max="3" width="14.85546875" customWidth="1"/>
    <col min="4" max="4" width="28.28515625" customWidth="1"/>
    <col min="5" max="5" width="22.28515625" customWidth="1"/>
    <col min="6" max="6" width="19.42578125" customWidth="1"/>
    <col min="7" max="7" width="23.28515625" customWidth="1"/>
    <col min="8" max="9" width="19.42578125" customWidth="1"/>
    <col min="10" max="10" width="24" customWidth="1"/>
  </cols>
  <sheetData>
    <row r="1" spans="1:12" x14ac:dyDescent="0.25">
      <c r="A1" t="s">
        <v>5</v>
      </c>
      <c r="B1" t="s">
        <v>9</v>
      </c>
      <c r="C1" t="s">
        <v>1</v>
      </c>
      <c r="D1" t="s">
        <v>10</v>
      </c>
      <c r="E1" t="s">
        <v>0</v>
      </c>
      <c r="F1" t="s">
        <v>3</v>
      </c>
      <c r="G1" t="s">
        <v>14</v>
      </c>
      <c r="H1" t="s">
        <v>18</v>
      </c>
      <c r="I1" t="s">
        <v>15</v>
      </c>
      <c r="J1" t="s">
        <v>16</v>
      </c>
      <c r="K1" t="s">
        <v>7</v>
      </c>
      <c r="L1" t="s">
        <v>6</v>
      </c>
    </row>
    <row r="2" spans="1:12" x14ac:dyDescent="0.25">
      <c r="A2">
        <v>1</v>
      </c>
      <c r="B2" t="s">
        <v>2</v>
      </c>
      <c r="C2" t="s">
        <v>2</v>
      </c>
      <c r="D2" t="s">
        <v>12</v>
      </c>
      <c r="E2" t="s">
        <v>4</v>
      </c>
      <c r="F2" t="s">
        <v>19</v>
      </c>
      <c r="G2" t="s">
        <v>19</v>
      </c>
      <c r="H2" t="s">
        <v>22</v>
      </c>
      <c r="I2" t="s">
        <v>21</v>
      </c>
      <c r="J2" t="s">
        <v>23</v>
      </c>
      <c r="K2">
        <v>6248</v>
      </c>
      <c r="L2">
        <v>269</v>
      </c>
    </row>
    <row r="3" spans="1:12" x14ac:dyDescent="0.25">
      <c r="A3">
        <v>2</v>
      </c>
      <c r="B3" t="s">
        <v>2</v>
      </c>
      <c r="C3" t="s">
        <v>2</v>
      </c>
      <c r="D3" t="s">
        <v>12</v>
      </c>
      <c r="E3" t="s">
        <v>8</v>
      </c>
      <c r="F3" t="s">
        <v>19</v>
      </c>
      <c r="G3" t="s">
        <v>19</v>
      </c>
      <c r="H3" t="s">
        <v>22</v>
      </c>
      <c r="I3" t="s">
        <v>21</v>
      </c>
      <c r="J3" t="s">
        <v>23</v>
      </c>
      <c r="K3">
        <v>4732</v>
      </c>
      <c r="L3">
        <v>205</v>
      </c>
    </row>
    <row r="4" spans="1:12" x14ac:dyDescent="0.25">
      <c r="A4">
        <v>3</v>
      </c>
      <c r="B4" t="s">
        <v>2</v>
      </c>
      <c r="C4" t="s">
        <v>2</v>
      </c>
      <c r="D4" t="s">
        <v>11</v>
      </c>
      <c r="E4" t="s">
        <v>8</v>
      </c>
      <c r="F4" t="s">
        <v>19</v>
      </c>
      <c r="G4" t="s">
        <v>19</v>
      </c>
      <c r="H4" t="s">
        <v>22</v>
      </c>
      <c r="I4" t="s">
        <v>21</v>
      </c>
      <c r="J4" t="s">
        <v>23</v>
      </c>
      <c r="K4">
        <v>4861</v>
      </c>
      <c r="L4">
        <v>206</v>
      </c>
    </row>
    <row r="5" spans="1:12" x14ac:dyDescent="0.25">
      <c r="A5">
        <v>4</v>
      </c>
      <c r="B5" t="s">
        <v>2</v>
      </c>
      <c r="C5" t="s">
        <v>2</v>
      </c>
      <c r="D5" t="s">
        <v>13</v>
      </c>
      <c r="E5" t="s">
        <v>8</v>
      </c>
      <c r="F5" t="s">
        <v>19</v>
      </c>
      <c r="G5" t="s">
        <v>19</v>
      </c>
      <c r="H5" t="s">
        <v>22</v>
      </c>
      <c r="I5" t="s">
        <v>21</v>
      </c>
      <c r="J5" t="s">
        <v>23</v>
      </c>
      <c r="K5">
        <v>4964</v>
      </c>
      <c r="L5">
        <v>205</v>
      </c>
    </row>
    <row r="6" spans="1:12" x14ac:dyDescent="0.25">
      <c r="A6">
        <v>5</v>
      </c>
      <c r="B6" t="s">
        <v>24</v>
      </c>
      <c r="C6" t="s">
        <v>2</v>
      </c>
      <c r="D6" t="s">
        <v>12</v>
      </c>
      <c r="E6" t="s">
        <v>8</v>
      </c>
      <c r="F6" t="s">
        <v>19</v>
      </c>
      <c r="G6" t="s">
        <v>19</v>
      </c>
      <c r="H6" t="s">
        <v>20</v>
      </c>
      <c r="I6" t="s">
        <v>21</v>
      </c>
      <c r="J6" t="s">
        <v>17</v>
      </c>
      <c r="K6">
        <v>4680</v>
      </c>
      <c r="L6">
        <v>195</v>
      </c>
    </row>
    <row r="9" spans="1:12" x14ac:dyDescent="0.25">
      <c r="C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1E58-3AA6-4E6F-8C5C-F53F3D7D38B4}">
  <dimension ref="A1:G4"/>
  <sheetViews>
    <sheetView workbookViewId="0">
      <selection activeCell="B4" sqref="B4"/>
    </sheetView>
  </sheetViews>
  <sheetFormatPr baseColWidth="10" defaultRowHeight="15" x14ac:dyDescent="0.25"/>
  <cols>
    <col min="2" max="3" width="23.28515625" customWidth="1"/>
    <col min="4" max="4" width="15.28515625" customWidth="1"/>
    <col min="5" max="5" width="23.7109375" customWidth="1"/>
  </cols>
  <sheetData>
    <row r="1" spans="1:7" x14ac:dyDescent="0.25">
      <c r="A1" t="s">
        <v>5</v>
      </c>
      <c r="B1" t="s">
        <v>14</v>
      </c>
      <c r="C1" t="s">
        <v>18</v>
      </c>
      <c r="D1" t="s">
        <v>15</v>
      </c>
      <c r="E1" t="s">
        <v>16</v>
      </c>
      <c r="F1" t="s">
        <v>7</v>
      </c>
      <c r="G1" t="s">
        <v>6</v>
      </c>
    </row>
    <row r="2" spans="1:7" x14ac:dyDescent="0.25">
      <c r="A2">
        <v>1</v>
      </c>
      <c r="B2" t="s">
        <v>19</v>
      </c>
      <c r="C2" t="s">
        <v>22</v>
      </c>
      <c r="D2" t="s">
        <v>21</v>
      </c>
      <c r="E2" t="s">
        <v>23</v>
      </c>
      <c r="F2">
        <v>1616</v>
      </c>
      <c r="G2">
        <f>271-206</f>
        <v>65</v>
      </c>
    </row>
    <row r="3" spans="1:7" x14ac:dyDescent="0.25">
      <c r="A3">
        <v>2</v>
      </c>
      <c r="B3" t="s">
        <v>19</v>
      </c>
      <c r="C3" t="s">
        <v>20</v>
      </c>
      <c r="D3" t="s">
        <v>21</v>
      </c>
      <c r="E3" t="s">
        <v>17</v>
      </c>
      <c r="F3">
        <v>1055</v>
      </c>
      <c r="G3">
        <f>253-206</f>
        <v>47</v>
      </c>
    </row>
    <row r="4" spans="1:7" x14ac:dyDescent="0.25">
      <c r="A4">
        <v>3</v>
      </c>
      <c r="B4" t="s">
        <v>19</v>
      </c>
      <c r="C4" t="s">
        <v>20</v>
      </c>
      <c r="D4" t="s">
        <v>21</v>
      </c>
      <c r="E4" t="s">
        <v>17</v>
      </c>
      <c r="F4">
        <v>405</v>
      </c>
      <c r="G4">
        <f>210-195</f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52DCE-E82D-407A-8431-E69A4F847D9D}">
  <dimension ref="A1:A55"/>
  <sheetViews>
    <sheetView tabSelected="1" topLeftCell="A8" workbookViewId="0">
      <selection activeCell="A43" sqref="A43:A55"/>
    </sheetView>
  </sheetViews>
  <sheetFormatPr baseColWidth="10" defaultRowHeight="15" x14ac:dyDescent="0.25"/>
  <sheetData>
    <row r="1" spans="1:1" x14ac:dyDescent="0.25">
      <c r="A1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11" spans="1:1" x14ac:dyDescent="0.25">
      <c r="A11" t="s">
        <v>34</v>
      </c>
    </row>
    <row r="13" spans="1:1" x14ac:dyDescent="0.25">
      <c r="A13" t="s">
        <v>35</v>
      </c>
    </row>
    <row r="15" spans="1:1" x14ac:dyDescent="0.25">
      <c r="A15" t="s">
        <v>36</v>
      </c>
    </row>
    <row r="16" spans="1:1" x14ac:dyDescent="0.25">
      <c r="A16" t="s">
        <v>37</v>
      </c>
    </row>
    <row r="17" spans="1:1" x14ac:dyDescent="0.25">
      <c r="A17" t="s">
        <v>38</v>
      </c>
    </row>
    <row r="18" spans="1:1" x14ac:dyDescent="0.25">
      <c r="A18" t="s">
        <v>39</v>
      </c>
    </row>
    <row r="19" spans="1:1" x14ac:dyDescent="0.25">
      <c r="A19" t="s">
        <v>40</v>
      </c>
    </row>
    <row r="20" spans="1:1" x14ac:dyDescent="0.25">
      <c r="A20" t="s">
        <v>41</v>
      </c>
    </row>
    <row r="21" spans="1:1" x14ac:dyDescent="0.25">
      <c r="A21" t="s">
        <v>42</v>
      </c>
    </row>
    <row r="22" spans="1:1" x14ac:dyDescent="0.25">
      <c r="A22" t="s">
        <v>43</v>
      </c>
    </row>
    <row r="25" spans="1:1" x14ac:dyDescent="0.25">
      <c r="A25" t="s">
        <v>44</v>
      </c>
    </row>
    <row r="27" spans="1:1" x14ac:dyDescent="0.25">
      <c r="A27" t="s">
        <v>35</v>
      </c>
    </row>
    <row r="29" spans="1:1" x14ac:dyDescent="0.25">
      <c r="A29" t="s">
        <v>45</v>
      </c>
    </row>
    <row r="30" spans="1:1" x14ac:dyDescent="0.25">
      <c r="A30" t="s">
        <v>46</v>
      </c>
    </row>
    <row r="31" spans="1:1" x14ac:dyDescent="0.25">
      <c r="A31" t="s">
        <v>47</v>
      </c>
    </row>
    <row r="32" spans="1:1" x14ac:dyDescent="0.25">
      <c r="A32" t="s">
        <v>48</v>
      </c>
    </row>
    <row r="33" spans="1:1" x14ac:dyDescent="0.25">
      <c r="A33" t="s">
        <v>49</v>
      </c>
    </row>
    <row r="34" spans="1:1" x14ac:dyDescent="0.25">
      <c r="A34" t="s">
        <v>50</v>
      </c>
    </row>
    <row r="35" spans="1:1" x14ac:dyDescent="0.25">
      <c r="A35" t="s">
        <v>51</v>
      </c>
    </row>
    <row r="36" spans="1:1" x14ac:dyDescent="0.25">
      <c r="A36" t="s">
        <v>52</v>
      </c>
    </row>
    <row r="39" spans="1:1" x14ac:dyDescent="0.25">
      <c r="A39" t="s">
        <v>53</v>
      </c>
    </row>
    <row r="41" spans="1:1" x14ac:dyDescent="0.25">
      <c r="A41" t="s">
        <v>35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3" spans="1:1" x14ac:dyDescent="0.25">
      <c r="A53" t="s">
        <v>62</v>
      </c>
    </row>
    <row r="55" spans="1:1" x14ac:dyDescent="0.25">
      <c r="A5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Premier départ</vt:lpstr>
      <vt:lpstr>Second départ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Guinand</dc:creator>
  <cp:lastModifiedBy>Mathieu Guinand</cp:lastModifiedBy>
  <dcterms:created xsi:type="dcterms:W3CDTF">2025-10-25T06:03:20Z</dcterms:created>
  <dcterms:modified xsi:type="dcterms:W3CDTF">2025-11-12T22:53:24Z</dcterms:modified>
</cp:coreProperties>
</file>